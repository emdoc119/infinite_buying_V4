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A7C2FF-5DD4-4256-B7A6-EAE2189CC5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 EMS Fellowship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6" i="3" l="1"/>
  <c r="E67" i="3" s="1"/>
  <c r="G67" i="3" s="1"/>
  <c r="G33" i="3"/>
  <c r="E34" i="3" s="1"/>
  <c r="G34" i="3" s="1"/>
  <c r="E35" i="3" s="1"/>
  <c r="G35" i="3" s="1"/>
  <c r="E36" i="3" s="1"/>
  <c r="G36" i="3" s="1"/>
  <c r="G60" i="3"/>
  <c r="G37" i="3" s="1"/>
  <c r="E38" i="3" s="1"/>
  <c r="G38" i="3" s="1"/>
  <c r="E39" i="3" s="1"/>
  <c r="G39" i="3" s="1"/>
  <c r="E40" i="3" s="1"/>
  <c r="G40" i="3" s="1"/>
  <c r="G42" i="3"/>
  <c r="E43" i="3" s="1"/>
  <c r="G43" i="3" s="1"/>
  <c r="E44" i="3" s="1"/>
  <c r="G44" i="3" s="1"/>
  <c r="E45" i="3" s="1"/>
  <c r="G45" i="3" s="1"/>
  <c r="G46" i="3" s="1"/>
  <c r="E47" i="3" s="1"/>
  <c r="G47" i="3" s="1"/>
  <c r="E48" i="3" s="1"/>
  <c r="G48" i="3" s="1"/>
  <c r="G55" i="3"/>
  <c r="G50" i="3"/>
  <c r="E51" i="3" s="1"/>
  <c r="G51" i="3" s="1"/>
  <c r="E52" i="3" s="1"/>
  <c r="G52" i="3" s="1"/>
  <c r="E53" i="3" s="1"/>
  <c r="G53" i="3" s="1"/>
  <c r="E54" i="3" s="1"/>
  <c r="G28" i="3"/>
  <c r="E29" i="3" s="1"/>
  <c r="G29" i="3" s="1"/>
  <c r="E30" i="3" s="1"/>
  <c r="G30" i="3" s="1"/>
  <c r="E31" i="3" s="1"/>
  <c r="G31" i="3" s="1"/>
  <c r="G27" i="3"/>
  <c r="G24" i="3"/>
  <c r="E25" i="3" s="1"/>
  <c r="G25" i="3" s="1"/>
  <c r="E26" i="3" s="1"/>
  <c r="G26" i="3" s="1"/>
  <c r="G17" i="3"/>
  <c r="G18" i="3" s="1"/>
  <c r="E19" i="3" s="1"/>
  <c r="G19" i="3" s="1"/>
  <c r="E20" i="3" s="1"/>
  <c r="G20" i="3" s="1"/>
  <c r="E21" i="3" s="1"/>
  <c r="G21" i="3" s="1"/>
  <c r="E22" i="3" s="1"/>
  <c r="G22" i="3" s="1"/>
  <c r="G14" i="3"/>
  <c r="E15" i="3" s="1"/>
  <c r="G15" i="3" s="1"/>
  <c r="E16" i="3" s="1"/>
  <c r="G16" i="3" s="1"/>
  <c r="G5" i="3"/>
  <c r="E6" i="3" s="1"/>
  <c r="G6" i="3" s="1"/>
  <c r="G10" i="3" s="1"/>
  <c r="E11" i="3" s="1"/>
  <c r="G11" i="3" s="1"/>
  <c r="E12" i="3" s="1"/>
  <c r="G12" i="3" s="1"/>
  <c r="E61" i="3" l="1"/>
  <c r="G61" i="3" s="1"/>
  <c r="E62" i="3" s="1"/>
  <c r="G62" i="3" s="1"/>
  <c r="E63" i="3" s="1"/>
  <c r="G63" i="3" s="1"/>
  <c r="E64" i="3" s="1"/>
  <c r="G64" i="3" s="1"/>
  <c r="E65" i="3" s="1"/>
  <c r="G65" i="3" s="1"/>
  <c r="E7" i="3"/>
  <c r="G7" i="3" s="1"/>
  <c r="E8" i="3" s="1"/>
  <c r="G8" i="3" s="1"/>
  <c r="E9" i="3" s="1"/>
  <c r="G9" i="3" s="1"/>
  <c r="E56" i="3"/>
  <c r="G56" i="3" s="1"/>
  <c r="E57" i="3" s="1"/>
  <c r="G57" i="3" s="1"/>
  <c r="E58" i="3" s="1"/>
  <c r="G58" i="3" s="1"/>
</calcChain>
</file>

<file path=xl/sharedStrings.xml><?xml version="1.0" encoding="utf-8"?>
<sst xmlns="http://schemas.openxmlformats.org/spreadsheetml/2006/main" count="341" uniqueCount="123">
  <si>
    <t>날짜</t>
  </si>
  <si>
    <t>시간</t>
  </si>
  <si>
    <t>담당분과</t>
  </si>
  <si>
    <t>진행내용</t>
  </si>
  <si>
    <t>교육 중분류</t>
  </si>
  <si>
    <t>강의 내용</t>
  </si>
  <si>
    <t>EMS-M</t>
  </si>
  <si>
    <t>EMS-C</t>
  </si>
  <si>
    <t>EMS-O</t>
  </si>
  <si>
    <t>EMS-Q</t>
  </si>
  <si>
    <t>EMS-E</t>
  </si>
  <si>
    <t>EMS-P</t>
  </si>
  <si>
    <t>EMS-R</t>
  </si>
  <si>
    <t>EMS-D</t>
  </si>
  <si>
    <t>강의</t>
  </si>
  <si>
    <t>구급자원 관리</t>
  </si>
  <si>
    <t>송경준</t>
  </si>
  <si>
    <t>홍기정</t>
  </si>
  <si>
    <t>구급체계 운영</t>
  </si>
  <si>
    <t>실습</t>
  </si>
  <si>
    <t>구급출동체계</t>
  </si>
  <si>
    <t>구급체계 운영의 실제</t>
  </si>
  <si>
    <t>구급체계 정보 및 통신관리</t>
  </si>
  <si>
    <t>법률과 체계</t>
  </si>
  <si>
    <t>의료지도</t>
  </si>
  <si>
    <t>직접의료지도</t>
  </si>
  <si>
    <t>상황실 의료지도</t>
  </si>
  <si>
    <t>프로토콜 개발</t>
  </si>
  <si>
    <t>중증응급질환 프로토콜</t>
  </si>
  <si>
    <t>주요 구급처치 프로토콜</t>
  </si>
  <si>
    <t>품질관리 개념 및 방법</t>
  </si>
  <si>
    <t>품질관리의 개념 및 방법</t>
  </si>
  <si>
    <t>품질관리 자료원</t>
  </si>
  <si>
    <t>국내 품질관리의 개선 방향 및 지역화</t>
  </si>
  <si>
    <t>공중보건의료의 이해</t>
  </si>
  <si>
    <t>공중보건의료 소개</t>
  </si>
  <si>
    <t>국내공중보건의료사업</t>
  </si>
  <si>
    <t>응급의료 교육에 대한 이해</t>
  </si>
  <si>
    <t>일반인 및 일차반응자 대상 교육 과정의 개발 및 운영 경험</t>
  </si>
  <si>
    <t>119구급대원 및 의료인 대상 교육 과정의 개발 및 운영 경험</t>
  </si>
  <si>
    <t>대상군별 응급의료교육 프로그램 개발</t>
  </si>
  <si>
    <t xml:space="preserve">개발 교육프로그램 발표 및 평가 </t>
  </si>
  <si>
    <t>EMS-O'</t>
  </si>
  <si>
    <t>평가</t>
  </si>
  <si>
    <t>EMS 연구의 이해</t>
  </si>
  <si>
    <t>실험 연구 (전임상 및 중개 연구) 특징, 구성, 장단점</t>
  </si>
  <si>
    <t>관찰 연구 (병원기반, 지역사회기반 관찰연구) 특징, 구성, 장단점</t>
  </si>
  <si>
    <t xml:space="preserve">특수 환경 응급 처치 </t>
  </si>
  <si>
    <t>정신 응급 및 특수 상황의 병원전 처치</t>
  </si>
  <si>
    <t>중증 외상의 병원전 처치</t>
  </si>
  <si>
    <t>재난의료대응체계</t>
  </si>
  <si>
    <t>병원 DMAT 구성 및 운영과 재난의료지원물품 - 사례 중심으로</t>
  </si>
  <si>
    <t>급증 환자에 대한 원내 지침과 비상진료구역 운영 - 사례 중심으로</t>
  </si>
  <si>
    <t>재난교육훈련</t>
  </si>
  <si>
    <t>도상 실습: 현장 대응</t>
  </si>
  <si>
    <t>도상 실습: 원내 대응</t>
  </si>
  <si>
    <t>기말평가</t>
  </si>
  <si>
    <t>김상철</t>
  </si>
  <si>
    <t>국내외 구급조직과 의료지도</t>
  </si>
  <si>
    <t>국내외 의료지도 관련 법률과 체계</t>
  </si>
  <si>
    <t>이승철</t>
  </si>
  <si>
    <t>강의</t>
    <phoneticPr fontId="1" type="noConversion"/>
  </si>
  <si>
    <t>대한응급의료지도의사협의회 이사장 환영사</t>
    <phoneticPr fontId="1" type="noConversion"/>
  </si>
  <si>
    <t>대한응급의료지도의사협의회 이사장 축사</t>
    <phoneticPr fontId="1" type="noConversion"/>
  </si>
  <si>
    <t>김대곤</t>
    <phoneticPr fontId="1" type="noConversion"/>
  </si>
  <si>
    <t>우리나라 재난응급의료체계와 재난응급의료 비상대응매뉴얼 개괄</t>
    <phoneticPr fontId="1" type="noConversion"/>
  </si>
  <si>
    <t>Off-line</t>
    <phoneticPr fontId="1" type="noConversion"/>
  </si>
  <si>
    <t>김민우</t>
    <phoneticPr fontId="1" type="noConversion"/>
  </si>
  <si>
    <t>구급체계 법률 및 규정, 재정관리</t>
    <phoneticPr fontId="1" type="noConversion"/>
  </si>
  <si>
    <t>구급체계 정보망 및 통신관리</t>
    <phoneticPr fontId="1" type="noConversion"/>
  </si>
  <si>
    <t>간접의료지도</t>
    <phoneticPr fontId="1" type="noConversion"/>
  </si>
  <si>
    <t>현장응급처치 표준지침</t>
    <phoneticPr fontId="1" type="noConversion"/>
  </si>
  <si>
    <t>상황실 의료지도</t>
    <phoneticPr fontId="1" type="noConversion"/>
  </si>
  <si>
    <t>상황실 의료지도 영상시청 및 모의실습, 토론</t>
    <phoneticPr fontId="1" type="noConversion"/>
  </si>
  <si>
    <t>감염병/특수재난 대응 - 대응원칙 및 대응전략 제시</t>
    <phoneticPr fontId="1" type="noConversion"/>
  </si>
  <si>
    <t>재난의학 및 재난의료개념</t>
    <phoneticPr fontId="1" type="noConversion"/>
  </si>
  <si>
    <t>재난 및 특수재난의 종류, 원인, 역학적 특성, 해외 재난 대응 등</t>
    <phoneticPr fontId="1" type="noConversion"/>
  </si>
  <si>
    <t>구급상황실 운영의 실제</t>
    <phoneticPr fontId="1" type="noConversion"/>
  </si>
  <si>
    <t>구급대원 입장의 직접의료지도</t>
    <phoneticPr fontId="1" type="noConversion"/>
  </si>
  <si>
    <t>~</t>
  </si>
  <si>
    <t>On-line</t>
    <phoneticPr fontId="1" type="noConversion"/>
  </si>
  <si>
    <t>구급체계 시설 및 장비</t>
    <phoneticPr fontId="1" type="noConversion"/>
  </si>
  <si>
    <t>품질관리 자료원의 이해 및 관리</t>
    <phoneticPr fontId="1" type="noConversion"/>
  </si>
  <si>
    <t>구급품질관리의 현황 및 발전 방향</t>
  </si>
  <si>
    <t>EMS 품질관리의 실제: LEMS PSM 분과</t>
  </si>
  <si>
    <t>질병관리청-소방청 급성심장정지조사 워크숍 운영 경험</t>
  </si>
  <si>
    <t>구급품질관리보고서 소개 (심정지, 상황실)</t>
  </si>
  <si>
    <t>구급품질관리보고서 소개 (중증외상, 심뇌혈관)</t>
  </si>
  <si>
    <t>서울소방 구급품질관리 현황</t>
  </si>
  <si>
    <t>구급품질관리 지표 개발 시 고려사항</t>
    <phoneticPr fontId="1" type="noConversion"/>
  </si>
  <si>
    <t>구급체계 인력</t>
    <phoneticPr fontId="1" type="noConversion"/>
  </si>
  <si>
    <t>현장응급처치 표준지침 기반 발표</t>
    <phoneticPr fontId="1" type="noConversion"/>
  </si>
  <si>
    <t>실습</t>
    <phoneticPr fontId="1" type="noConversion"/>
  </si>
  <si>
    <t>발표</t>
    <phoneticPr fontId="1" type="noConversion"/>
  </si>
  <si>
    <t>2026 EMS fellowship schedule</t>
    <phoneticPr fontId="1" type="noConversion"/>
  </si>
  <si>
    <t>점심식사</t>
    <phoneticPr fontId="1" type="noConversion"/>
  </si>
  <si>
    <t>국내/국외 주요 공중보건의료 사업 성공사례</t>
    <phoneticPr fontId="1" type="noConversion"/>
  </si>
  <si>
    <t>2026 강사(안)</t>
    <phoneticPr fontId="1" type="noConversion"/>
  </si>
  <si>
    <t>TBD</t>
    <phoneticPr fontId="1" type="noConversion"/>
  </si>
  <si>
    <t>류현욱 이사장</t>
  </si>
  <si>
    <t>박용주</t>
  </si>
  <si>
    <t>김수진</t>
  </si>
  <si>
    <t>류현욱</t>
  </si>
  <si>
    <t>문성우</t>
  </si>
  <si>
    <t>박관진</t>
  </si>
  <si>
    <t>김민우</t>
  </si>
  <si>
    <t>최영호</t>
  </si>
  <si>
    <t>최슬기</t>
  </si>
  <si>
    <t>김채현</t>
  </si>
  <si>
    <t>한철</t>
  </si>
  <si>
    <t>고서영</t>
  </si>
  <si>
    <t>문성배</t>
  </si>
  <si>
    <t>고정인</t>
  </si>
  <si>
    <t>조진성</t>
  </si>
  <si>
    <t>이동언</t>
  </si>
  <si>
    <t>최동현</t>
  </si>
  <si>
    <t>김윤직</t>
  </si>
  <si>
    <t>정주</t>
  </si>
  <si>
    <t>이다해</t>
    <phoneticPr fontId="1" type="noConversion"/>
  </si>
  <si>
    <t>이정호</t>
    <phoneticPr fontId="1" type="noConversion"/>
  </si>
  <si>
    <t>정유진</t>
    <phoneticPr fontId="1" type="noConversion"/>
  </si>
  <si>
    <t>박용주/문선미</t>
    <phoneticPr fontId="1" type="noConversion"/>
  </si>
  <si>
    <t>김정언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</si>
</sst>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h:mm;@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name val="나눔고딕"/>
      <family val="3"/>
      <charset val="129"/>
    </font>
    <font>
      <sz val="1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b/>
      <sz val="12"/>
      <color theme="1"/>
      <name val="나눔고딕"/>
      <family val="3"/>
      <charset val="129"/>
    </font>
    <font>
      <sz val="11"/>
      <color rgb="FFFF0000"/>
      <name val="나눔고딕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3" xfId="0" applyFont="1" applyBorder="1" applyAlignment="1">
      <alignment vertical="top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2" xfId="0" applyFont="1" applyBorder="1" applyAlignment="1">
      <alignment vertical="top"/>
    </xf>
    <xf numFmtId="0" fontId="3" fillId="0" borderId="3" xfId="0" applyFont="1" applyBorder="1">
      <alignment vertical="center"/>
    </xf>
    <xf numFmtId="0" fontId="4" fillId="0" borderId="4" xfId="0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3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top"/>
    </xf>
    <xf numFmtId="0" fontId="6" fillId="0" borderId="1" xfId="0" applyFont="1" applyBorder="1">
      <alignment vertical="center"/>
    </xf>
    <xf numFmtId="177" fontId="6" fillId="0" borderId="0" xfId="0" applyNumberFormat="1" applyFont="1" applyAlignment="1">
      <alignment horizontal="right" vertical="center"/>
    </xf>
    <xf numFmtId="0" fontId="3" fillId="3" borderId="0" xfId="0" applyFont="1" applyFill="1">
      <alignment vertical="center"/>
    </xf>
    <xf numFmtId="177" fontId="6" fillId="0" borderId="1" xfId="0" applyNumberFormat="1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center"/>
    </xf>
    <xf numFmtId="177" fontId="3" fillId="0" borderId="1" xfId="0" applyNumberFormat="1" applyFont="1" applyBorder="1" applyAlignment="1">
      <alignment horizontal="right" vertical="top"/>
    </xf>
    <xf numFmtId="20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20" fontId="3" fillId="3" borderId="9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Continuous" vertical="center"/>
    </xf>
    <xf numFmtId="0" fontId="7" fillId="3" borderId="8" xfId="0" applyFont="1" applyFill="1" applyBorder="1" applyAlignment="1">
      <alignment horizontal="centerContinuous" vertical="center"/>
    </xf>
    <xf numFmtId="0" fontId="7" fillId="3" borderId="9" xfId="0" applyFont="1" applyFill="1" applyBorder="1" applyAlignment="1">
      <alignment horizontal="centerContinuous" vertical="center"/>
    </xf>
    <xf numFmtId="20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0" fontId="3" fillId="0" borderId="9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20" fontId="5" fillId="0" borderId="7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76" fontId="3" fillId="0" borderId="11" xfId="0" applyNumberFormat="1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12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177" fontId="3" fillId="0" borderId="9" xfId="0" applyNumberFormat="1" applyFont="1" applyBorder="1" applyAlignment="1">
      <alignment horizontal="right" vertical="top"/>
    </xf>
    <xf numFmtId="177" fontId="5" fillId="0" borderId="9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176" fontId="3" fillId="0" borderId="5" xfId="0" applyNumberFormat="1" applyFont="1" applyBorder="1" applyAlignment="1">
      <alignment horizontal="center" vertical="center"/>
    </xf>
    <xf numFmtId="176" fontId="3" fillId="4" borderId="3" xfId="0" applyNumberFormat="1" applyFont="1" applyFill="1" applyBorder="1" applyAlignment="1">
      <alignment horizontal="center" vertical="top"/>
    </xf>
    <xf numFmtId="177" fontId="6" fillId="0" borderId="9" xfId="0" applyNumberFormat="1" applyFont="1" applyBorder="1" applyAlignment="1">
      <alignment horizontal="right" vertical="center"/>
    </xf>
    <xf numFmtId="176" fontId="3" fillId="0" borderId="5" xfId="0" applyNumberFormat="1" applyFont="1" applyBorder="1" applyAlignment="1">
      <alignment horizontal="center" vertical="top"/>
    </xf>
    <xf numFmtId="176" fontId="3" fillId="2" borderId="5" xfId="0" applyNumberFormat="1" applyFont="1" applyFill="1" applyBorder="1" applyAlignment="1">
      <alignment horizontal="center" vertical="top"/>
    </xf>
    <xf numFmtId="176" fontId="3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76" fontId="4" fillId="0" borderId="3" xfId="0" applyNumberFormat="1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176" fontId="8" fillId="0" borderId="3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center"/>
    </xf>
    <xf numFmtId="176" fontId="4" fillId="2" borderId="3" xfId="0" applyNumberFormat="1" applyFont="1" applyFill="1" applyBorder="1" applyAlignment="1">
      <alignment horizontal="center" vertical="top"/>
    </xf>
    <xf numFmtId="176" fontId="4" fillId="2" borderId="5" xfId="0" applyNumberFormat="1" applyFont="1" applyFill="1" applyBorder="1" applyAlignment="1">
      <alignment horizontal="center" vertical="top"/>
    </xf>
    <xf numFmtId="176" fontId="3" fillId="0" borderId="2" xfId="0" applyNumberFormat="1" applyFont="1" applyBorder="1" applyAlignment="1">
      <alignment horizontal="center" vertical="top"/>
    </xf>
    <xf numFmtId="0" fontId="0" fillId="0" borderId="3" xfId="0" applyBorder="1">
      <alignment vertical="center"/>
    </xf>
    <xf numFmtId="177" fontId="3" fillId="0" borderId="13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33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12A5E9-A035-4038-B446-799F1190AB37}">
  <we:reference id="wa200005502" version="1.0.0.11" store="ko-KR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2508-38A0-4860-AC53-D5DB69A98ADE}">
  <dimension ref="B2:L67"/>
  <sheetViews>
    <sheetView tabSelected="1" topLeftCell="A30" zoomScale="85" zoomScaleNormal="85" workbookViewId="0">
      <selection activeCell="L40" sqref="L40"/>
    </sheetView>
  </sheetViews>
  <sheetFormatPr defaultRowHeight="17.399999999999999" x14ac:dyDescent="0.4"/>
  <cols>
    <col min="1" max="1" width="3.796875" customWidth="1"/>
    <col min="2" max="2" width="3.59765625" customWidth="1"/>
    <col min="3" max="3" width="17" customWidth="1"/>
    <col min="4" max="4" width="5.59765625" customWidth="1"/>
    <col min="5" max="5" width="6.796875" bestFit="1" customWidth="1"/>
    <col min="6" max="6" width="3" bestFit="1" customWidth="1"/>
    <col min="7" max="7" width="6.796875" bestFit="1" customWidth="1"/>
    <col min="8" max="8" width="9.09765625"/>
    <col min="9" max="9" width="9.296875" bestFit="1" customWidth="1"/>
    <col min="10" max="10" width="37.296875" customWidth="1"/>
    <col min="11" max="11" width="13.19921875" customWidth="1"/>
    <col min="12" max="12" width="57.296875" customWidth="1"/>
  </cols>
  <sheetData>
    <row r="2" spans="2:12" x14ac:dyDescent="0.4">
      <c r="B2" s="6" t="s">
        <v>94</v>
      </c>
      <c r="C2" s="51"/>
      <c r="D2" s="18"/>
      <c r="E2" s="19"/>
      <c r="F2" s="19"/>
      <c r="G2" s="19"/>
      <c r="H2" s="7"/>
      <c r="I2" s="7"/>
      <c r="J2" s="7"/>
      <c r="K2" s="4"/>
      <c r="L2" s="7"/>
    </row>
    <row r="3" spans="2:12" x14ac:dyDescent="0.4">
      <c r="B3" s="36"/>
      <c r="C3" s="42" t="s">
        <v>0</v>
      </c>
      <c r="D3" s="20"/>
      <c r="E3" s="26" t="s">
        <v>1</v>
      </c>
      <c r="F3" s="27"/>
      <c r="G3" s="28"/>
      <c r="H3" s="5" t="s">
        <v>2</v>
      </c>
      <c r="I3" s="5" t="s">
        <v>3</v>
      </c>
      <c r="J3" s="5" t="s">
        <v>4</v>
      </c>
      <c r="K3" s="15" t="s">
        <v>97</v>
      </c>
      <c r="L3" s="17" t="s">
        <v>5</v>
      </c>
    </row>
    <row r="4" spans="2:12" x14ac:dyDescent="0.4">
      <c r="B4" s="8">
        <v>1</v>
      </c>
      <c r="C4" s="35"/>
      <c r="D4" s="47"/>
      <c r="E4" s="26"/>
      <c r="F4" s="27"/>
      <c r="G4" s="28"/>
      <c r="H4" s="5"/>
      <c r="I4" s="5"/>
      <c r="J4" s="5"/>
      <c r="K4" s="15"/>
      <c r="L4" s="17"/>
    </row>
    <row r="5" spans="2:12" x14ac:dyDescent="0.4">
      <c r="B5" s="3"/>
      <c r="C5" s="35">
        <v>46155</v>
      </c>
      <c r="D5" s="40">
        <v>3.472222222222222E-3</v>
      </c>
      <c r="E5" s="29">
        <v>0.375</v>
      </c>
      <c r="F5" s="30" t="s">
        <v>79</v>
      </c>
      <c r="G5" s="31">
        <f>E5+D5</f>
        <v>0.37847222222222221</v>
      </c>
      <c r="H5" s="67" t="s">
        <v>62</v>
      </c>
      <c r="I5" s="67"/>
      <c r="J5" s="67"/>
      <c r="K5" s="64" t="s">
        <v>99</v>
      </c>
      <c r="L5" s="12"/>
    </row>
    <row r="6" spans="2:12" ht="15.75" customHeight="1" x14ac:dyDescent="0.4">
      <c r="B6" s="9"/>
      <c r="C6" s="52"/>
      <c r="D6" s="41">
        <v>3.4722222222222224E-2</v>
      </c>
      <c r="E6" s="33">
        <f t="shared" ref="E6" si="0">G5</f>
        <v>0.37847222222222221</v>
      </c>
      <c r="F6" s="34" t="s">
        <v>79</v>
      </c>
      <c r="G6" s="31">
        <f>E6+D6</f>
        <v>0.41319444444444442</v>
      </c>
      <c r="H6" s="1" t="s">
        <v>6</v>
      </c>
      <c r="I6" s="1" t="s">
        <v>14</v>
      </c>
      <c r="J6" s="1" t="s">
        <v>15</v>
      </c>
      <c r="K6" s="64" t="s">
        <v>121</v>
      </c>
      <c r="L6" s="12" t="s">
        <v>90</v>
      </c>
    </row>
    <row r="7" spans="2:12" x14ac:dyDescent="0.4">
      <c r="B7" s="3"/>
      <c r="C7" s="53"/>
      <c r="D7" s="41">
        <v>3.4722222222222224E-2</v>
      </c>
      <c r="E7" s="33">
        <f t="shared" ref="E7:E9" si="1">G6</f>
        <v>0.41319444444444442</v>
      </c>
      <c r="F7" s="34" t="s">
        <v>79</v>
      </c>
      <c r="G7" s="31">
        <f t="shared" ref="G7:G9" si="2">E7+D7</f>
        <v>0.44791666666666663</v>
      </c>
      <c r="H7" s="1" t="s">
        <v>6</v>
      </c>
      <c r="I7" s="1" t="s">
        <v>14</v>
      </c>
      <c r="J7" s="1" t="s">
        <v>15</v>
      </c>
      <c r="K7" s="64" t="s">
        <v>121</v>
      </c>
      <c r="L7" s="12" t="s">
        <v>81</v>
      </c>
    </row>
    <row r="8" spans="2:12" x14ac:dyDescent="0.4">
      <c r="B8" s="3"/>
      <c r="C8" s="53"/>
      <c r="D8" s="41">
        <v>3.4722222222222224E-2</v>
      </c>
      <c r="E8" s="33">
        <f t="shared" si="1"/>
        <v>0.44791666666666663</v>
      </c>
      <c r="F8" s="34" t="s">
        <v>79</v>
      </c>
      <c r="G8" s="31">
        <f t="shared" si="2"/>
        <v>0.48263888888888884</v>
      </c>
      <c r="H8" s="1" t="s">
        <v>6</v>
      </c>
      <c r="I8" s="1" t="s">
        <v>14</v>
      </c>
      <c r="J8" s="1" t="s">
        <v>18</v>
      </c>
      <c r="K8" s="64" t="s">
        <v>16</v>
      </c>
      <c r="L8" s="12" t="s">
        <v>20</v>
      </c>
    </row>
    <row r="9" spans="2:12" x14ac:dyDescent="0.4">
      <c r="B9" s="3"/>
      <c r="C9" s="45"/>
      <c r="D9" s="41">
        <v>3.4722222222222224E-2</v>
      </c>
      <c r="E9" s="33">
        <f t="shared" si="1"/>
        <v>0.48263888888888884</v>
      </c>
      <c r="F9" s="34" t="s">
        <v>79</v>
      </c>
      <c r="G9" s="31">
        <f t="shared" si="2"/>
        <v>0.51736111111111105</v>
      </c>
      <c r="H9" s="1" t="s">
        <v>6</v>
      </c>
      <c r="I9" s="1" t="s">
        <v>14</v>
      </c>
      <c r="J9" s="1" t="s">
        <v>18</v>
      </c>
      <c r="K9" s="64" t="s">
        <v>57</v>
      </c>
      <c r="L9" s="12" t="s">
        <v>68</v>
      </c>
    </row>
    <row r="10" spans="2:12" x14ac:dyDescent="0.4">
      <c r="B10" s="3"/>
      <c r="C10" s="45"/>
      <c r="D10" s="41">
        <v>3.4722222222222224E-2</v>
      </c>
      <c r="E10" s="33">
        <v>0.5625</v>
      </c>
      <c r="F10" s="34" t="s">
        <v>79</v>
      </c>
      <c r="G10" s="31">
        <f t="shared" ref="G10:G12" si="3">E10+D10</f>
        <v>0.59722222222222221</v>
      </c>
      <c r="H10" s="1" t="s">
        <v>6</v>
      </c>
      <c r="I10" s="1" t="s">
        <v>14</v>
      </c>
      <c r="J10" s="1" t="s">
        <v>18</v>
      </c>
      <c r="K10" s="64" t="s">
        <v>100</v>
      </c>
      <c r="L10" s="12" t="s">
        <v>21</v>
      </c>
    </row>
    <row r="11" spans="2:12" x14ac:dyDescent="0.4">
      <c r="B11" s="3"/>
      <c r="C11" s="53"/>
      <c r="D11" s="41">
        <v>3.4722222222222224E-2</v>
      </c>
      <c r="E11" s="33">
        <f t="shared" ref="E11:E12" si="4">G10</f>
        <v>0.59722222222222221</v>
      </c>
      <c r="F11" s="34" t="s">
        <v>79</v>
      </c>
      <c r="G11" s="31">
        <f t="shared" si="3"/>
        <v>0.63194444444444442</v>
      </c>
      <c r="H11" s="1" t="s">
        <v>6</v>
      </c>
      <c r="I11" s="1" t="s">
        <v>61</v>
      </c>
      <c r="J11" s="1" t="s">
        <v>22</v>
      </c>
      <c r="K11" s="64" t="s">
        <v>100</v>
      </c>
      <c r="L11" s="12" t="s">
        <v>69</v>
      </c>
    </row>
    <row r="12" spans="2:12" x14ac:dyDescent="0.4">
      <c r="B12" s="10"/>
      <c r="C12" s="63"/>
      <c r="D12" s="41">
        <v>3.4722222222222224E-2</v>
      </c>
      <c r="E12" s="33">
        <f t="shared" si="4"/>
        <v>0.63194444444444442</v>
      </c>
      <c r="F12" s="34" t="s">
        <v>79</v>
      </c>
      <c r="G12" s="31">
        <f t="shared" si="3"/>
        <v>0.66666666666666663</v>
      </c>
      <c r="H12" s="1" t="s">
        <v>6</v>
      </c>
      <c r="I12" s="1" t="s">
        <v>61</v>
      </c>
      <c r="J12" s="1" t="s">
        <v>22</v>
      </c>
      <c r="K12" s="64" t="s">
        <v>101</v>
      </c>
      <c r="L12" s="12" t="s">
        <v>77</v>
      </c>
    </row>
    <row r="13" spans="2:12" x14ac:dyDescent="0.4">
      <c r="B13" s="3">
        <v>2</v>
      </c>
      <c r="C13" s="50"/>
      <c r="D13" s="40"/>
      <c r="E13" s="33"/>
      <c r="F13" s="34"/>
      <c r="G13" s="25"/>
      <c r="H13" s="1"/>
      <c r="I13" s="1"/>
      <c r="J13" s="1"/>
      <c r="K13" s="64"/>
      <c r="L13" s="12"/>
    </row>
    <row r="14" spans="2:12" x14ac:dyDescent="0.4">
      <c r="B14" s="3"/>
      <c r="C14" s="43">
        <v>46197</v>
      </c>
      <c r="D14" s="21">
        <v>3.4722222222222224E-2</v>
      </c>
      <c r="E14" s="23">
        <v>0.375</v>
      </c>
      <c r="F14" s="30" t="s">
        <v>79</v>
      </c>
      <c r="G14" s="31">
        <f t="shared" ref="G14:G18" si="5">E14+D14</f>
        <v>0.40972222222222221</v>
      </c>
      <c r="H14" s="1" t="s">
        <v>8</v>
      </c>
      <c r="I14" s="1" t="s">
        <v>14</v>
      </c>
      <c r="J14" s="1" t="s">
        <v>23</v>
      </c>
      <c r="K14" s="65" t="s">
        <v>120</v>
      </c>
      <c r="L14" s="2" t="s">
        <v>58</v>
      </c>
    </row>
    <row r="15" spans="2:12" x14ac:dyDescent="0.4">
      <c r="B15" s="3"/>
      <c r="C15" s="16"/>
      <c r="D15" s="21">
        <v>3.4722222222222224E-2</v>
      </c>
      <c r="E15" s="29">
        <f t="shared" ref="E15:E16" si="6">G14</f>
        <v>0.40972222222222221</v>
      </c>
      <c r="F15" s="30" t="s">
        <v>79</v>
      </c>
      <c r="G15" s="31">
        <f t="shared" si="5"/>
        <v>0.44444444444444442</v>
      </c>
      <c r="H15" s="1" t="s">
        <v>8</v>
      </c>
      <c r="I15" s="1" t="s">
        <v>14</v>
      </c>
      <c r="J15" s="1" t="s">
        <v>23</v>
      </c>
      <c r="K15" s="65" t="s">
        <v>102</v>
      </c>
      <c r="L15" s="2" t="s">
        <v>59</v>
      </c>
    </row>
    <row r="16" spans="2:12" x14ac:dyDescent="0.4">
      <c r="B16" s="3"/>
      <c r="C16" s="16"/>
      <c r="D16" s="21">
        <v>3.4722222222222224E-2</v>
      </c>
      <c r="E16" s="29">
        <f t="shared" si="6"/>
        <v>0.44444444444444442</v>
      </c>
      <c r="F16" s="30" t="s">
        <v>79</v>
      </c>
      <c r="G16" s="31">
        <f t="shared" si="5"/>
        <v>0.47916666666666663</v>
      </c>
      <c r="H16" s="1" t="s">
        <v>8</v>
      </c>
      <c r="I16" s="1" t="s">
        <v>14</v>
      </c>
      <c r="J16" s="1" t="s">
        <v>24</v>
      </c>
      <c r="K16" s="65" t="s">
        <v>118</v>
      </c>
      <c r="L16" s="2" t="s">
        <v>71</v>
      </c>
    </row>
    <row r="17" spans="2:12" x14ac:dyDescent="0.4">
      <c r="B17" s="3"/>
      <c r="C17" s="16"/>
      <c r="D17" s="21">
        <v>3.4722222222222224E-2</v>
      </c>
      <c r="E17" s="29">
        <v>0.47916666666666669</v>
      </c>
      <c r="F17" s="30" t="s">
        <v>79</v>
      </c>
      <c r="G17" s="31">
        <f t="shared" si="5"/>
        <v>0.51388888888888895</v>
      </c>
      <c r="H17" s="1" t="s">
        <v>8</v>
      </c>
      <c r="I17" s="1" t="s">
        <v>14</v>
      </c>
      <c r="J17" s="1" t="s">
        <v>24</v>
      </c>
      <c r="K17" s="65" t="s">
        <v>103</v>
      </c>
      <c r="L17" s="2" t="s">
        <v>70</v>
      </c>
    </row>
    <row r="18" spans="2:12" x14ac:dyDescent="0.4">
      <c r="B18" s="3"/>
      <c r="C18" s="16"/>
      <c r="D18" s="21">
        <v>3.4722222222222224E-2</v>
      </c>
      <c r="E18" s="29">
        <v>0.5625</v>
      </c>
      <c r="F18" s="30" t="s">
        <v>79</v>
      </c>
      <c r="G18" s="31">
        <f t="shared" si="5"/>
        <v>0.59722222222222221</v>
      </c>
      <c r="H18" s="1" t="s">
        <v>8</v>
      </c>
      <c r="I18" s="1" t="s">
        <v>14</v>
      </c>
      <c r="J18" s="1" t="s">
        <v>24</v>
      </c>
      <c r="K18" s="65" t="s">
        <v>119</v>
      </c>
      <c r="L18" s="2" t="s">
        <v>25</v>
      </c>
    </row>
    <row r="19" spans="2:12" x14ac:dyDescent="0.4">
      <c r="B19" s="3"/>
      <c r="C19" s="16"/>
      <c r="D19" s="21">
        <v>3.4722222222222224E-2</v>
      </c>
      <c r="E19" s="29">
        <f t="shared" ref="E19:E22" si="7">G18</f>
        <v>0.59722222222222221</v>
      </c>
      <c r="F19" s="30" t="s">
        <v>79</v>
      </c>
      <c r="G19" s="31">
        <f t="shared" ref="G19:G22" si="8">E19+D19</f>
        <v>0.63194444444444442</v>
      </c>
      <c r="H19" s="1" t="s">
        <v>8</v>
      </c>
      <c r="I19" s="1" t="s">
        <v>14</v>
      </c>
      <c r="J19" s="1" t="s">
        <v>24</v>
      </c>
      <c r="K19" s="66" t="s">
        <v>119</v>
      </c>
      <c r="L19" s="2" t="s">
        <v>26</v>
      </c>
    </row>
    <row r="20" spans="2:12" x14ac:dyDescent="0.4">
      <c r="B20" s="3"/>
      <c r="C20" s="16"/>
      <c r="D20" s="21">
        <v>3.4722222222222224E-2</v>
      </c>
      <c r="E20" s="29">
        <f t="shared" si="7"/>
        <v>0.63194444444444442</v>
      </c>
      <c r="F20" s="30" t="s">
        <v>79</v>
      </c>
      <c r="G20" s="31">
        <f t="shared" si="8"/>
        <v>0.66666666666666663</v>
      </c>
      <c r="H20" s="1" t="s">
        <v>8</v>
      </c>
      <c r="I20" s="14" t="s">
        <v>61</v>
      </c>
      <c r="J20" s="1" t="s">
        <v>24</v>
      </c>
      <c r="K20" s="65" t="s">
        <v>98</v>
      </c>
      <c r="L20" s="58" t="s">
        <v>78</v>
      </c>
    </row>
    <row r="21" spans="2:12" x14ac:dyDescent="0.4">
      <c r="B21" s="38"/>
      <c r="C21" s="16"/>
      <c r="D21" s="21">
        <v>3.4722222222222224E-2</v>
      </c>
      <c r="E21" s="29">
        <f t="shared" si="7"/>
        <v>0.66666666666666663</v>
      </c>
      <c r="F21" s="30" t="s">
        <v>79</v>
      </c>
      <c r="G21" s="31">
        <f t="shared" si="8"/>
        <v>0.70138888888888884</v>
      </c>
      <c r="H21" s="1" t="s">
        <v>8</v>
      </c>
      <c r="I21" s="1" t="s">
        <v>92</v>
      </c>
      <c r="J21" s="1" t="s">
        <v>27</v>
      </c>
      <c r="K21" s="65" t="s">
        <v>104</v>
      </c>
      <c r="L21" s="2" t="s">
        <v>28</v>
      </c>
    </row>
    <row r="22" spans="2:12" x14ac:dyDescent="0.4">
      <c r="B22" s="38"/>
      <c r="C22" s="63"/>
      <c r="D22" s="21">
        <v>3.4722222222222224E-2</v>
      </c>
      <c r="E22" s="29">
        <f t="shared" si="7"/>
        <v>0.70138888888888884</v>
      </c>
      <c r="F22" s="30" t="s">
        <v>79</v>
      </c>
      <c r="G22" s="31">
        <f t="shared" si="8"/>
        <v>0.73611111111111105</v>
      </c>
      <c r="H22" s="1" t="s">
        <v>8</v>
      </c>
      <c r="I22" s="1" t="s">
        <v>19</v>
      </c>
      <c r="J22" s="1" t="s">
        <v>27</v>
      </c>
      <c r="K22" s="65" t="s">
        <v>119</v>
      </c>
      <c r="L22" s="2" t="s">
        <v>29</v>
      </c>
    </row>
    <row r="23" spans="2:12" x14ac:dyDescent="0.4">
      <c r="B23" s="8">
        <v>3</v>
      </c>
      <c r="C23" s="50"/>
      <c r="D23" s="22"/>
      <c r="E23" s="29"/>
      <c r="F23" s="30"/>
      <c r="G23" s="31"/>
      <c r="H23" s="1"/>
      <c r="I23" s="1"/>
      <c r="J23" s="1"/>
      <c r="K23" s="65"/>
      <c r="L23" s="2"/>
    </row>
    <row r="24" spans="2:12" x14ac:dyDescent="0.4">
      <c r="B24" s="44"/>
      <c r="C24" s="43">
        <v>46225</v>
      </c>
      <c r="D24" s="22">
        <v>3.4722222222222224E-2</v>
      </c>
      <c r="E24" s="23">
        <v>0.375</v>
      </c>
      <c r="F24" s="30" t="s">
        <v>79</v>
      </c>
      <c r="G24" s="31">
        <f t="shared" ref="G24:G31" si="9">E24+D24</f>
        <v>0.40972222222222221</v>
      </c>
      <c r="H24" s="1" t="s">
        <v>9</v>
      </c>
      <c r="I24" s="1" t="s">
        <v>14</v>
      </c>
      <c r="J24" s="1" t="s">
        <v>30</v>
      </c>
      <c r="K24" s="65" t="s">
        <v>60</v>
      </c>
      <c r="L24" s="58" t="s">
        <v>31</v>
      </c>
    </row>
    <row r="25" spans="2:12" x14ac:dyDescent="0.4">
      <c r="B25" s="38"/>
      <c r="C25" s="56"/>
      <c r="D25" s="22">
        <v>3.4722222222222224E-2</v>
      </c>
      <c r="E25" s="29">
        <f>G24</f>
        <v>0.40972222222222221</v>
      </c>
      <c r="F25" s="30" t="s">
        <v>79</v>
      </c>
      <c r="G25" s="31">
        <f t="shared" si="9"/>
        <v>0.44444444444444442</v>
      </c>
      <c r="H25" s="1" t="s">
        <v>9</v>
      </c>
      <c r="I25" s="1" t="s">
        <v>14</v>
      </c>
      <c r="J25" s="11" t="s">
        <v>82</v>
      </c>
      <c r="K25" s="65" t="s">
        <v>105</v>
      </c>
      <c r="L25" s="58" t="s">
        <v>32</v>
      </c>
    </row>
    <row r="26" spans="2:12" x14ac:dyDescent="0.4">
      <c r="B26" s="38"/>
      <c r="C26" s="54"/>
      <c r="D26" s="22">
        <v>3.4722222222222224E-2</v>
      </c>
      <c r="E26" s="29">
        <f t="shared" ref="E26:E31" si="10">G25</f>
        <v>0.44444444444444442</v>
      </c>
      <c r="F26" s="30" t="s">
        <v>79</v>
      </c>
      <c r="G26" s="31">
        <f t="shared" si="9"/>
        <v>0.47916666666666663</v>
      </c>
      <c r="H26" s="1" t="s">
        <v>9</v>
      </c>
      <c r="I26" s="1" t="s">
        <v>14</v>
      </c>
      <c r="J26" s="11" t="s">
        <v>33</v>
      </c>
      <c r="K26" s="65" t="s">
        <v>106</v>
      </c>
      <c r="L26" s="58" t="s">
        <v>83</v>
      </c>
    </row>
    <row r="27" spans="2:12" x14ac:dyDescent="0.4">
      <c r="B27" s="38"/>
      <c r="C27" s="16"/>
      <c r="D27" s="22">
        <v>3.4722222222222224E-2</v>
      </c>
      <c r="E27" s="29">
        <v>0.47916666666666669</v>
      </c>
      <c r="F27" s="30" t="s">
        <v>79</v>
      </c>
      <c r="G27" s="31">
        <f t="shared" si="9"/>
        <v>0.51388888888888895</v>
      </c>
      <c r="H27" s="1" t="s">
        <v>9</v>
      </c>
      <c r="I27" s="1" t="s">
        <v>19</v>
      </c>
      <c r="J27" s="11" t="s">
        <v>84</v>
      </c>
      <c r="K27" s="65" t="s">
        <v>106</v>
      </c>
      <c r="L27" s="58" t="s">
        <v>89</v>
      </c>
    </row>
    <row r="28" spans="2:12" x14ac:dyDescent="0.4">
      <c r="B28" s="38"/>
      <c r="C28" s="16"/>
      <c r="D28" s="22">
        <v>3.4722222222222224E-2</v>
      </c>
      <c r="E28" s="29">
        <v>0.55555555555555558</v>
      </c>
      <c r="F28" s="30" t="s">
        <v>79</v>
      </c>
      <c r="G28" s="31">
        <f t="shared" si="9"/>
        <v>0.59027777777777779</v>
      </c>
      <c r="H28" s="1" t="s">
        <v>9</v>
      </c>
      <c r="I28" s="1" t="s">
        <v>19</v>
      </c>
      <c r="J28" s="11" t="s">
        <v>84</v>
      </c>
      <c r="K28" s="65" t="s">
        <v>107</v>
      </c>
      <c r="L28" s="58" t="s">
        <v>85</v>
      </c>
    </row>
    <row r="29" spans="2:12" x14ac:dyDescent="0.4">
      <c r="B29" s="38"/>
      <c r="C29" s="16"/>
      <c r="D29" s="22">
        <v>3.4722222222222224E-2</v>
      </c>
      <c r="E29" s="29">
        <f t="shared" si="10"/>
        <v>0.59027777777777779</v>
      </c>
      <c r="F29" s="30" t="s">
        <v>79</v>
      </c>
      <c r="G29" s="31">
        <f t="shared" si="9"/>
        <v>0.625</v>
      </c>
      <c r="H29" s="1" t="s">
        <v>9</v>
      </c>
      <c r="I29" s="1" t="s">
        <v>19</v>
      </c>
      <c r="J29" s="11" t="s">
        <v>84</v>
      </c>
      <c r="K29" s="65" t="s">
        <v>107</v>
      </c>
      <c r="L29" s="58" t="s">
        <v>86</v>
      </c>
    </row>
    <row r="30" spans="2:12" x14ac:dyDescent="0.4">
      <c r="B30" s="38"/>
      <c r="C30" s="16"/>
      <c r="D30" s="22">
        <v>3.4722222222222224E-2</v>
      </c>
      <c r="E30" s="29">
        <f t="shared" si="10"/>
        <v>0.625</v>
      </c>
      <c r="F30" s="30" t="s">
        <v>79</v>
      </c>
      <c r="G30" s="31">
        <f t="shared" si="9"/>
        <v>0.65972222222222221</v>
      </c>
      <c r="H30" s="1" t="s">
        <v>9</v>
      </c>
      <c r="I30" s="1" t="s">
        <v>19</v>
      </c>
      <c r="J30" s="11" t="s">
        <v>84</v>
      </c>
      <c r="K30" s="65" t="s">
        <v>106</v>
      </c>
      <c r="L30" s="58" t="s">
        <v>87</v>
      </c>
    </row>
    <row r="31" spans="2:12" x14ac:dyDescent="0.4">
      <c r="B31" s="39"/>
      <c r="C31" s="63"/>
      <c r="D31" s="22">
        <v>3.4722222222222224E-2</v>
      </c>
      <c r="E31" s="29">
        <f t="shared" si="10"/>
        <v>0.65972222222222221</v>
      </c>
      <c r="F31" s="30" t="s">
        <v>79</v>
      </c>
      <c r="G31" s="31">
        <f t="shared" si="9"/>
        <v>0.69444444444444442</v>
      </c>
      <c r="H31" s="1" t="s">
        <v>9</v>
      </c>
      <c r="I31" s="1" t="s">
        <v>19</v>
      </c>
      <c r="J31" s="11" t="s">
        <v>84</v>
      </c>
      <c r="K31" s="65" t="s">
        <v>108</v>
      </c>
      <c r="L31" s="58" t="s">
        <v>88</v>
      </c>
    </row>
    <row r="32" spans="2:12" x14ac:dyDescent="0.4">
      <c r="B32" s="37">
        <v>4</v>
      </c>
      <c r="C32" s="50"/>
      <c r="D32" s="22"/>
      <c r="E32" s="32"/>
      <c r="F32" s="30"/>
      <c r="G32" s="31"/>
      <c r="H32" s="1"/>
      <c r="I32" s="1"/>
      <c r="J32" s="1"/>
      <c r="K32" s="65"/>
      <c r="L32" s="2"/>
    </row>
    <row r="33" spans="2:12" x14ac:dyDescent="0.4">
      <c r="B33" s="38"/>
      <c r="C33" s="61">
        <v>46246</v>
      </c>
      <c r="D33" s="40">
        <v>3.4722222222222224E-2</v>
      </c>
      <c r="E33" s="29">
        <v>0.375</v>
      </c>
      <c r="F33" s="24" t="s">
        <v>79</v>
      </c>
      <c r="G33" s="25">
        <f>E33+D33</f>
        <v>0.40972222222222221</v>
      </c>
      <c r="H33" s="1" t="s">
        <v>10</v>
      </c>
      <c r="I33" s="1" t="s">
        <v>14</v>
      </c>
      <c r="J33" s="1" t="s">
        <v>37</v>
      </c>
      <c r="K33" s="65" t="s">
        <v>109</v>
      </c>
      <c r="L33" s="2" t="s">
        <v>38</v>
      </c>
    </row>
    <row r="34" spans="2:12" x14ac:dyDescent="0.4">
      <c r="B34" s="38"/>
      <c r="C34" s="16"/>
      <c r="D34" s="40">
        <v>3.4722222222222224E-2</v>
      </c>
      <c r="E34" s="29">
        <f>G33</f>
        <v>0.40972222222222221</v>
      </c>
      <c r="F34" s="24" t="s">
        <v>79</v>
      </c>
      <c r="G34" s="25">
        <f>E34+D34</f>
        <v>0.44444444444444442</v>
      </c>
      <c r="H34" s="1" t="s">
        <v>10</v>
      </c>
      <c r="I34" s="1" t="s">
        <v>14</v>
      </c>
      <c r="J34" s="1" t="s">
        <v>37</v>
      </c>
      <c r="K34" s="65" t="s">
        <v>110</v>
      </c>
      <c r="L34" s="2" t="s">
        <v>39</v>
      </c>
    </row>
    <row r="35" spans="2:12" x14ac:dyDescent="0.4">
      <c r="B35" s="38"/>
      <c r="C35" s="16"/>
      <c r="D35" s="40">
        <v>3.4722222222222224E-2</v>
      </c>
      <c r="E35" s="29">
        <f t="shared" ref="E35:E36" si="11">G34</f>
        <v>0.44444444444444442</v>
      </c>
      <c r="F35" s="24" t="s">
        <v>79</v>
      </c>
      <c r="G35" s="25">
        <f t="shared" ref="G35:G36" si="12">E35+D35</f>
        <v>0.47916666666666663</v>
      </c>
      <c r="H35" s="1" t="s">
        <v>10</v>
      </c>
      <c r="I35" s="1" t="s">
        <v>14</v>
      </c>
      <c r="J35" s="1" t="s">
        <v>37</v>
      </c>
      <c r="K35" s="65" t="s">
        <v>110</v>
      </c>
      <c r="L35" s="2" t="s">
        <v>41</v>
      </c>
    </row>
    <row r="36" spans="2:12" x14ac:dyDescent="0.4">
      <c r="B36" s="38"/>
      <c r="C36" s="62"/>
      <c r="D36" s="40">
        <v>3.4722222222222224E-2</v>
      </c>
      <c r="E36" s="29">
        <f t="shared" si="11"/>
        <v>0.47916666666666663</v>
      </c>
      <c r="F36" s="24" t="s">
        <v>79</v>
      </c>
      <c r="G36" s="25">
        <f t="shared" si="12"/>
        <v>0.51388888888888884</v>
      </c>
      <c r="H36" s="1" t="s">
        <v>10</v>
      </c>
      <c r="I36" s="1" t="s">
        <v>19</v>
      </c>
      <c r="J36" s="1" t="s">
        <v>37</v>
      </c>
      <c r="K36" s="65" t="s">
        <v>109</v>
      </c>
      <c r="L36" s="2" t="s">
        <v>40</v>
      </c>
    </row>
    <row r="37" spans="2:12" x14ac:dyDescent="0.4">
      <c r="B37" s="44"/>
      <c r="C37" s="62"/>
      <c r="D37" s="40">
        <v>3.4722222222222224E-2</v>
      </c>
      <c r="E37" s="29">
        <v>0.5625</v>
      </c>
      <c r="F37" s="24" t="s">
        <v>79</v>
      </c>
      <c r="G37" s="25">
        <f>E37+D37</f>
        <v>0.59722222222222221</v>
      </c>
      <c r="H37" s="1" t="s">
        <v>7</v>
      </c>
      <c r="I37" s="1" t="s">
        <v>14</v>
      </c>
      <c r="J37" s="1" t="s">
        <v>47</v>
      </c>
      <c r="K37" s="65" t="s">
        <v>118</v>
      </c>
      <c r="L37" s="2" t="s">
        <v>48</v>
      </c>
    </row>
    <row r="38" spans="2:12" x14ac:dyDescent="0.4">
      <c r="B38" s="38"/>
      <c r="C38" s="16"/>
      <c r="D38" s="40">
        <v>3.4722222222222224E-2</v>
      </c>
      <c r="E38" s="29">
        <f>G37</f>
        <v>0.59722222222222221</v>
      </c>
      <c r="F38" s="24" t="s">
        <v>79</v>
      </c>
      <c r="G38" s="25">
        <f t="shared" ref="G38:G40" si="13">E38+D38</f>
        <v>0.63194444444444442</v>
      </c>
      <c r="H38" s="1" t="s">
        <v>7</v>
      </c>
      <c r="I38" s="1" t="s">
        <v>14</v>
      </c>
      <c r="J38" s="1" t="s">
        <v>47</v>
      </c>
      <c r="K38" s="64" t="s">
        <v>111</v>
      </c>
      <c r="L38" s="12" t="s">
        <v>49</v>
      </c>
    </row>
    <row r="39" spans="2:12" x14ac:dyDescent="0.4">
      <c r="B39" s="38"/>
      <c r="C39" s="55"/>
      <c r="D39" s="40">
        <v>3.4722222222222224E-2</v>
      </c>
      <c r="E39" s="29">
        <f t="shared" ref="E39:E40" si="14">G38</f>
        <v>0.63194444444444442</v>
      </c>
      <c r="F39" s="24" t="s">
        <v>79</v>
      </c>
      <c r="G39" s="25">
        <f t="shared" si="13"/>
        <v>0.66666666666666663</v>
      </c>
      <c r="H39" s="1" t="s">
        <v>11</v>
      </c>
      <c r="I39" s="1" t="s">
        <v>14</v>
      </c>
      <c r="J39" s="1" t="s">
        <v>34</v>
      </c>
      <c r="K39" s="64" t="s">
        <v>107</v>
      </c>
      <c r="L39" s="2" t="s">
        <v>35</v>
      </c>
    </row>
    <row r="40" spans="2:12" x14ac:dyDescent="0.4">
      <c r="B40" s="38"/>
      <c r="C40" s="63"/>
      <c r="D40" s="40">
        <v>3.4722222222222224E-2</v>
      </c>
      <c r="E40" s="29">
        <f t="shared" si="14"/>
        <v>0.66666666666666663</v>
      </c>
      <c r="F40" s="24" t="s">
        <v>79</v>
      </c>
      <c r="G40" s="25">
        <f t="shared" si="13"/>
        <v>0.70138888888888884</v>
      </c>
      <c r="H40" s="1" t="s">
        <v>11</v>
      </c>
      <c r="I40" s="1" t="s">
        <v>14</v>
      </c>
      <c r="J40" s="1" t="s">
        <v>36</v>
      </c>
      <c r="K40" s="64" t="s">
        <v>111</v>
      </c>
      <c r="L40" s="2" t="s">
        <v>96</v>
      </c>
    </row>
    <row r="41" spans="2:12" x14ac:dyDescent="0.4">
      <c r="B41" s="8">
        <v>5</v>
      </c>
      <c r="C41" s="50"/>
      <c r="D41" s="22"/>
      <c r="E41" s="23"/>
      <c r="F41" s="24"/>
      <c r="G41" s="25"/>
      <c r="H41" s="1"/>
      <c r="I41" s="1"/>
      <c r="J41" s="1"/>
      <c r="K41" s="64"/>
      <c r="L41" s="12"/>
    </row>
    <row r="42" spans="2:12" x14ac:dyDescent="0.4">
      <c r="B42" s="9"/>
      <c r="C42" s="45">
        <v>46274</v>
      </c>
      <c r="D42" s="22">
        <v>3.4722222222222224E-2</v>
      </c>
      <c r="E42" s="23">
        <v>0.375</v>
      </c>
      <c r="F42" s="24" t="s">
        <v>79</v>
      </c>
      <c r="G42" s="25">
        <f>E42+D42</f>
        <v>0.40972222222222221</v>
      </c>
      <c r="H42" s="1" t="s">
        <v>13</v>
      </c>
      <c r="I42" s="1" t="s">
        <v>14</v>
      </c>
      <c r="J42" s="1" t="s">
        <v>75</v>
      </c>
      <c r="K42" s="64" t="s">
        <v>112</v>
      </c>
      <c r="L42" s="12" t="s">
        <v>76</v>
      </c>
    </row>
    <row r="43" spans="2:12" x14ac:dyDescent="0.4">
      <c r="B43" s="3"/>
      <c r="C43" s="48"/>
      <c r="D43" s="22">
        <v>3.4722222222222224E-2</v>
      </c>
      <c r="E43" s="29">
        <f>G42</f>
        <v>0.40972222222222221</v>
      </c>
      <c r="F43" s="24" t="s">
        <v>79</v>
      </c>
      <c r="G43" s="25">
        <f t="shared" ref="G43:G67" si="15">E43+D43</f>
        <v>0.44444444444444442</v>
      </c>
      <c r="H43" s="1" t="s">
        <v>13</v>
      </c>
      <c r="I43" s="1" t="s">
        <v>14</v>
      </c>
      <c r="J43" s="1" t="s">
        <v>50</v>
      </c>
      <c r="K43" s="64" t="s">
        <v>122</v>
      </c>
      <c r="L43" s="12" t="s">
        <v>65</v>
      </c>
    </row>
    <row r="44" spans="2:12" x14ac:dyDescent="0.4">
      <c r="B44" s="3"/>
      <c r="C44" s="52"/>
      <c r="D44" s="22">
        <v>3.4722222222222224E-2</v>
      </c>
      <c r="E44" s="29">
        <f t="shared" ref="E44:E45" si="16">G43</f>
        <v>0.44444444444444442</v>
      </c>
      <c r="F44" s="24" t="s">
        <v>79</v>
      </c>
      <c r="G44" s="25">
        <f t="shared" ref="G44:G46" si="17">E44+D44</f>
        <v>0.47916666666666663</v>
      </c>
      <c r="H44" s="1" t="s">
        <v>13</v>
      </c>
      <c r="I44" s="1" t="s">
        <v>14</v>
      </c>
      <c r="J44" s="1" t="s">
        <v>50</v>
      </c>
      <c r="K44" s="64" t="s">
        <v>113</v>
      </c>
      <c r="L44" s="12" t="s">
        <v>51</v>
      </c>
    </row>
    <row r="45" spans="2:12" x14ac:dyDescent="0.4">
      <c r="B45" s="3"/>
      <c r="D45" s="22">
        <v>3.4722222222222224E-2</v>
      </c>
      <c r="E45" s="29">
        <f t="shared" si="16"/>
        <v>0.47916666666666663</v>
      </c>
      <c r="F45" s="24" t="s">
        <v>79</v>
      </c>
      <c r="G45" s="25">
        <f t="shared" si="17"/>
        <v>0.51388888888888884</v>
      </c>
      <c r="H45" s="1" t="s">
        <v>13</v>
      </c>
      <c r="I45" s="1" t="s">
        <v>14</v>
      </c>
      <c r="J45" s="1" t="s">
        <v>50</v>
      </c>
      <c r="K45" s="64" t="s">
        <v>17</v>
      </c>
      <c r="L45" s="12" t="s">
        <v>52</v>
      </c>
    </row>
    <row r="46" spans="2:12" x14ac:dyDescent="0.4">
      <c r="B46" s="3"/>
      <c r="D46" s="22">
        <v>3.4722222222222224E-2</v>
      </c>
      <c r="E46" s="29">
        <v>0.5625</v>
      </c>
      <c r="F46" s="24" t="s">
        <v>79</v>
      </c>
      <c r="G46" s="25">
        <f t="shared" si="17"/>
        <v>0.59722222222222221</v>
      </c>
      <c r="H46" s="1" t="s">
        <v>13</v>
      </c>
      <c r="I46" s="1" t="s">
        <v>14</v>
      </c>
      <c r="J46" s="1" t="s">
        <v>50</v>
      </c>
      <c r="K46" s="64" t="s">
        <v>114</v>
      </c>
      <c r="L46" s="12" t="s">
        <v>74</v>
      </c>
    </row>
    <row r="47" spans="2:12" x14ac:dyDescent="0.4">
      <c r="B47" s="3"/>
      <c r="D47" s="22">
        <v>3.4722222222222224E-2</v>
      </c>
      <c r="E47" s="29">
        <f>G46</f>
        <v>0.59722222222222221</v>
      </c>
      <c r="F47" s="24" t="s">
        <v>79</v>
      </c>
      <c r="G47" s="25">
        <f t="shared" si="15"/>
        <v>0.63194444444444442</v>
      </c>
      <c r="H47" s="1" t="s">
        <v>12</v>
      </c>
      <c r="I47" s="1" t="s">
        <v>14</v>
      </c>
      <c r="J47" s="1" t="s">
        <v>44</v>
      </c>
      <c r="K47" s="64" t="s">
        <v>115</v>
      </c>
      <c r="L47" s="2" t="s">
        <v>46</v>
      </c>
    </row>
    <row r="48" spans="2:12" x14ac:dyDescent="0.4">
      <c r="B48" s="3"/>
      <c r="C48" s="63"/>
      <c r="D48" s="22">
        <v>3.4722222222222224E-2</v>
      </c>
      <c r="E48" s="29">
        <f t="shared" ref="E48" si="18">G47</f>
        <v>0.63194444444444442</v>
      </c>
      <c r="F48" s="24" t="s">
        <v>79</v>
      </c>
      <c r="G48" s="25">
        <f t="shared" si="15"/>
        <v>0.66666666666666663</v>
      </c>
      <c r="H48" s="1" t="s">
        <v>12</v>
      </c>
      <c r="I48" s="1" t="s">
        <v>61</v>
      </c>
      <c r="J48" s="1" t="s">
        <v>44</v>
      </c>
      <c r="K48" s="64" t="s">
        <v>115</v>
      </c>
      <c r="L48" s="2" t="s">
        <v>45</v>
      </c>
    </row>
    <row r="49" spans="2:12" x14ac:dyDescent="0.4">
      <c r="B49" s="8">
        <v>6</v>
      </c>
      <c r="C49" s="50"/>
      <c r="D49" s="22"/>
      <c r="E49" s="23"/>
      <c r="F49" s="24"/>
      <c r="G49" s="25"/>
      <c r="H49" s="1"/>
      <c r="I49" s="1"/>
      <c r="J49" s="1"/>
      <c r="K49" s="64"/>
      <c r="L49" s="12"/>
    </row>
    <row r="50" spans="2:12" x14ac:dyDescent="0.4">
      <c r="B50" s="38"/>
      <c r="C50" s="55">
        <v>46309</v>
      </c>
      <c r="D50" s="22">
        <v>3.4722222222222224E-2</v>
      </c>
      <c r="E50" s="29">
        <v>0.375</v>
      </c>
      <c r="F50" s="30" t="s">
        <v>79</v>
      </c>
      <c r="G50" s="31">
        <f>E50+D50</f>
        <v>0.40972222222222221</v>
      </c>
      <c r="H50" s="14" t="s">
        <v>8</v>
      </c>
      <c r="I50" s="14" t="s">
        <v>19</v>
      </c>
      <c r="J50" s="14" t="s">
        <v>72</v>
      </c>
      <c r="K50" s="64" t="s">
        <v>105</v>
      </c>
      <c r="L50" s="2" t="s">
        <v>73</v>
      </c>
    </row>
    <row r="51" spans="2:12" x14ac:dyDescent="0.4">
      <c r="B51" s="38"/>
      <c r="C51" s="59" t="s">
        <v>66</v>
      </c>
      <c r="D51" s="22">
        <v>3.4722222222222224E-2</v>
      </c>
      <c r="E51" s="29">
        <f t="shared" ref="E51" si="19">G50</f>
        <v>0.40972222222222221</v>
      </c>
      <c r="F51" s="30" t="s">
        <v>79</v>
      </c>
      <c r="G51" s="31">
        <f t="shared" ref="G51" si="20">E51+D51</f>
        <v>0.44444444444444442</v>
      </c>
      <c r="H51" s="14" t="s">
        <v>8</v>
      </c>
      <c r="I51" s="14" t="s">
        <v>19</v>
      </c>
      <c r="J51" s="14" t="s">
        <v>72</v>
      </c>
      <c r="K51" s="64" t="s">
        <v>67</v>
      </c>
      <c r="L51" s="2" t="s">
        <v>73</v>
      </c>
    </row>
    <row r="52" spans="2:12" x14ac:dyDescent="0.4">
      <c r="B52" s="38"/>
      <c r="C52" s="59" t="s">
        <v>66</v>
      </c>
      <c r="D52" s="22">
        <v>3.4722222222222224E-2</v>
      </c>
      <c r="E52" s="29">
        <f t="shared" ref="E52:E53" si="21">G51</f>
        <v>0.44444444444444442</v>
      </c>
      <c r="F52" s="30" t="s">
        <v>79</v>
      </c>
      <c r="G52" s="31">
        <f t="shared" ref="G52:G53" si="22">E52+D52</f>
        <v>0.47916666666666663</v>
      </c>
      <c r="H52" s="14" t="s">
        <v>8</v>
      </c>
      <c r="I52" s="14" t="s">
        <v>19</v>
      </c>
      <c r="J52" s="14" t="s">
        <v>72</v>
      </c>
      <c r="K52" s="64" t="s">
        <v>64</v>
      </c>
      <c r="L52" s="2" t="s">
        <v>73</v>
      </c>
    </row>
    <row r="53" spans="2:12" x14ac:dyDescent="0.4">
      <c r="B53" s="38"/>
      <c r="C53" s="59" t="s">
        <v>66</v>
      </c>
      <c r="D53" s="22">
        <v>3.4722222222222224E-2</v>
      </c>
      <c r="E53" s="29">
        <f t="shared" si="21"/>
        <v>0.47916666666666663</v>
      </c>
      <c r="F53" s="30" t="s">
        <v>79</v>
      </c>
      <c r="G53" s="31">
        <f t="shared" si="22"/>
        <v>0.51388888888888884</v>
      </c>
      <c r="H53" s="14" t="s">
        <v>8</v>
      </c>
      <c r="I53" s="14" t="s">
        <v>19</v>
      </c>
      <c r="J53" s="14" t="s">
        <v>72</v>
      </c>
      <c r="K53" s="64" t="s">
        <v>64</v>
      </c>
      <c r="L53" s="2" t="s">
        <v>73</v>
      </c>
    </row>
    <row r="54" spans="2:12" x14ac:dyDescent="0.4">
      <c r="B54" s="38"/>
      <c r="C54" s="59" t="s">
        <v>66</v>
      </c>
      <c r="D54" s="22"/>
      <c r="E54" s="29">
        <f>G53</f>
        <v>0.51388888888888884</v>
      </c>
      <c r="F54" s="30" t="s">
        <v>79</v>
      </c>
      <c r="G54" s="31">
        <v>0.5625</v>
      </c>
      <c r="H54" s="14"/>
      <c r="I54" s="14"/>
      <c r="J54" s="1" t="s">
        <v>95</v>
      </c>
      <c r="K54" s="64"/>
      <c r="L54" s="2"/>
    </row>
    <row r="55" spans="2:12" x14ac:dyDescent="0.4">
      <c r="B55" s="3"/>
      <c r="C55" s="60" t="s">
        <v>66</v>
      </c>
      <c r="D55" s="22">
        <v>4.1666666666666664E-2</v>
      </c>
      <c r="E55" s="29">
        <v>0.5625</v>
      </c>
      <c r="F55" s="24" t="s">
        <v>79</v>
      </c>
      <c r="G55" s="25">
        <f t="shared" ref="G55:G56" si="23">E55+D55</f>
        <v>0.60416666666666663</v>
      </c>
      <c r="H55" s="1" t="s">
        <v>13</v>
      </c>
      <c r="I55" s="1" t="s">
        <v>19</v>
      </c>
      <c r="J55" s="1" t="s">
        <v>53</v>
      </c>
      <c r="K55" s="64" t="s">
        <v>116</v>
      </c>
      <c r="L55" s="12" t="s">
        <v>54</v>
      </c>
    </row>
    <row r="56" spans="2:12" x14ac:dyDescent="0.4">
      <c r="B56" s="3"/>
      <c r="C56" s="49" t="s">
        <v>66</v>
      </c>
      <c r="D56" s="22">
        <v>4.1666666666666664E-2</v>
      </c>
      <c r="E56" s="29">
        <f t="shared" ref="E56" si="24">G55</f>
        <v>0.60416666666666663</v>
      </c>
      <c r="F56" s="24" t="s">
        <v>79</v>
      </c>
      <c r="G56" s="25">
        <f t="shared" si="23"/>
        <v>0.64583333333333326</v>
      </c>
      <c r="H56" s="1" t="s">
        <v>13</v>
      </c>
      <c r="I56" s="1" t="s">
        <v>19</v>
      </c>
      <c r="J56" s="1" t="s">
        <v>53</v>
      </c>
      <c r="K56" s="64" t="s">
        <v>116</v>
      </c>
      <c r="L56" s="12" t="s">
        <v>54</v>
      </c>
    </row>
    <row r="57" spans="2:12" x14ac:dyDescent="0.4">
      <c r="B57" s="3"/>
      <c r="C57" s="49" t="s">
        <v>66</v>
      </c>
      <c r="D57" s="22">
        <v>4.1666666666666664E-2</v>
      </c>
      <c r="E57" s="29">
        <f t="shared" ref="E57:E58" si="25">G56</f>
        <v>0.64583333333333326</v>
      </c>
      <c r="F57" s="24" t="s">
        <v>79</v>
      </c>
      <c r="G57" s="25">
        <f t="shared" ref="G57:G58" si="26">E57+D57</f>
        <v>0.68749999999999989</v>
      </c>
      <c r="H57" s="1" t="s">
        <v>13</v>
      </c>
      <c r="I57" s="1" t="s">
        <v>19</v>
      </c>
      <c r="J57" s="1" t="s">
        <v>53</v>
      </c>
      <c r="K57" s="64" t="s">
        <v>117</v>
      </c>
      <c r="L57" s="12" t="s">
        <v>55</v>
      </c>
    </row>
    <row r="58" spans="2:12" x14ac:dyDescent="0.4">
      <c r="B58" s="3"/>
      <c r="C58" s="63"/>
      <c r="D58" s="22">
        <v>4.1666666666666664E-2</v>
      </c>
      <c r="E58" s="29">
        <f t="shared" si="25"/>
        <v>0.68749999999999989</v>
      </c>
      <c r="F58" s="24" t="s">
        <v>79</v>
      </c>
      <c r="G58" s="25">
        <f t="shared" si="26"/>
        <v>0.72916666666666652</v>
      </c>
      <c r="H58" s="1" t="s">
        <v>13</v>
      </c>
      <c r="I58" s="1" t="s">
        <v>19</v>
      </c>
      <c r="J58" s="1" t="s">
        <v>53</v>
      </c>
      <c r="K58" s="64" t="s">
        <v>117</v>
      </c>
      <c r="L58" s="12" t="s">
        <v>55</v>
      </c>
    </row>
    <row r="59" spans="2:12" x14ac:dyDescent="0.4">
      <c r="B59" s="8">
        <v>7</v>
      </c>
      <c r="C59" s="50"/>
      <c r="D59" s="22"/>
      <c r="E59" s="23"/>
      <c r="F59" s="24"/>
      <c r="G59" s="25"/>
      <c r="H59" s="1"/>
      <c r="I59" s="1"/>
      <c r="J59" s="1"/>
      <c r="K59" s="64"/>
      <c r="L59" s="12"/>
    </row>
    <row r="60" spans="2:12" x14ac:dyDescent="0.4">
      <c r="B60" s="44"/>
      <c r="C60" s="13">
        <v>46337</v>
      </c>
      <c r="D60" s="40">
        <v>3.472222222222222E-3</v>
      </c>
      <c r="E60" s="23">
        <v>0.375</v>
      </c>
      <c r="F60" s="24" t="s">
        <v>79</v>
      </c>
      <c r="G60" s="25">
        <f t="shared" ref="G60" si="27">E60+D60</f>
        <v>0.37847222222222221</v>
      </c>
      <c r="H60" s="67" t="s">
        <v>63</v>
      </c>
      <c r="I60" s="67"/>
      <c r="J60" s="67"/>
      <c r="K60" s="64" t="s">
        <v>99</v>
      </c>
      <c r="L60" s="12"/>
    </row>
    <row r="61" spans="2:12" x14ac:dyDescent="0.4">
      <c r="B61" s="38"/>
      <c r="C61" s="57"/>
      <c r="D61" s="22">
        <v>2.0833333333333332E-2</v>
      </c>
      <c r="E61" s="29">
        <f>G60</f>
        <v>0.37847222222222221</v>
      </c>
      <c r="F61" s="24" t="s">
        <v>79</v>
      </c>
      <c r="G61" s="25">
        <f t="shared" ref="G61" si="28">E61+D61</f>
        <v>0.39930555555555552</v>
      </c>
      <c r="H61" s="1" t="s">
        <v>42</v>
      </c>
      <c r="I61" s="14" t="s">
        <v>19</v>
      </c>
      <c r="J61" s="1" t="s">
        <v>91</v>
      </c>
      <c r="K61" s="64"/>
      <c r="L61" s="12" t="s">
        <v>93</v>
      </c>
    </row>
    <row r="62" spans="2:12" x14ac:dyDescent="0.4">
      <c r="B62" s="38"/>
      <c r="C62" s="57"/>
      <c r="D62" s="22">
        <v>2.0833333333333332E-2</v>
      </c>
      <c r="E62" s="29">
        <f t="shared" ref="E62" si="29">G61</f>
        <v>0.39930555555555552</v>
      </c>
      <c r="F62" s="24" t="s">
        <v>79</v>
      </c>
      <c r="G62" s="25">
        <f t="shared" ref="G62" si="30">E62+D62</f>
        <v>0.42013888888888884</v>
      </c>
      <c r="H62" s="1" t="s">
        <v>42</v>
      </c>
      <c r="I62" s="14" t="s">
        <v>19</v>
      </c>
      <c r="J62" s="1" t="s">
        <v>91</v>
      </c>
      <c r="K62" s="64"/>
      <c r="L62" s="12" t="s">
        <v>93</v>
      </c>
    </row>
    <row r="63" spans="2:12" x14ac:dyDescent="0.4">
      <c r="B63" s="38"/>
      <c r="C63" s="57"/>
      <c r="D63" s="22">
        <v>2.0833333333333332E-2</v>
      </c>
      <c r="E63" s="29">
        <f t="shared" ref="E63:E65" si="31">G62</f>
        <v>0.42013888888888884</v>
      </c>
      <c r="F63" s="24" t="s">
        <v>79</v>
      </c>
      <c r="G63" s="25">
        <f t="shared" ref="G63:G65" si="32">E63+D63</f>
        <v>0.44097222222222215</v>
      </c>
      <c r="H63" s="1" t="s">
        <v>42</v>
      </c>
      <c r="I63" s="14" t="s">
        <v>19</v>
      </c>
      <c r="J63" s="1" t="s">
        <v>91</v>
      </c>
      <c r="K63" s="64"/>
      <c r="L63" s="12" t="s">
        <v>93</v>
      </c>
    </row>
    <row r="64" spans="2:12" x14ac:dyDescent="0.4">
      <c r="B64" s="38"/>
      <c r="C64" s="57"/>
      <c r="D64" s="22">
        <v>2.0833333333333332E-2</v>
      </c>
      <c r="E64" s="29">
        <f t="shared" si="31"/>
        <v>0.44097222222222215</v>
      </c>
      <c r="F64" s="24" t="s">
        <v>79</v>
      </c>
      <c r="G64" s="25">
        <f t="shared" si="32"/>
        <v>0.46180555555555547</v>
      </c>
      <c r="H64" s="1" t="s">
        <v>42</v>
      </c>
      <c r="I64" s="14" t="s">
        <v>19</v>
      </c>
      <c r="J64" s="1" t="s">
        <v>91</v>
      </c>
      <c r="K64" s="64"/>
      <c r="L64" s="12" t="s">
        <v>93</v>
      </c>
    </row>
    <row r="65" spans="2:12" x14ac:dyDescent="0.4">
      <c r="B65" s="38"/>
      <c r="C65" s="57"/>
      <c r="D65" s="22">
        <v>2.0833333333333332E-2</v>
      </c>
      <c r="E65" s="29">
        <f t="shared" si="31"/>
        <v>0.46180555555555547</v>
      </c>
      <c r="F65" s="24" t="s">
        <v>79</v>
      </c>
      <c r="G65" s="25">
        <f t="shared" si="32"/>
        <v>0.48263888888888878</v>
      </c>
      <c r="H65" s="1" t="s">
        <v>42</v>
      </c>
      <c r="I65" s="14" t="s">
        <v>19</v>
      </c>
      <c r="J65" s="1" t="s">
        <v>91</v>
      </c>
      <c r="K65" s="64"/>
      <c r="L65" s="12" t="s">
        <v>93</v>
      </c>
    </row>
    <row r="66" spans="2:12" x14ac:dyDescent="0.4">
      <c r="B66" s="38"/>
      <c r="C66" s="46" t="s">
        <v>80</v>
      </c>
      <c r="D66" s="40">
        <v>4.1666666666666699E-2</v>
      </c>
      <c r="E66" s="29">
        <v>0.58333333333333337</v>
      </c>
      <c r="F66" s="24" t="s">
        <v>79</v>
      </c>
      <c r="G66" s="25">
        <f t="shared" si="15"/>
        <v>0.62500000000000011</v>
      </c>
      <c r="H66" s="1" t="s">
        <v>56</v>
      </c>
      <c r="I66" s="1" t="s">
        <v>43</v>
      </c>
      <c r="J66" s="1" t="s">
        <v>56</v>
      </c>
      <c r="K66" s="64"/>
      <c r="L66" s="12" t="s">
        <v>56</v>
      </c>
    </row>
    <row r="67" spans="2:12" x14ac:dyDescent="0.4">
      <c r="B67" s="39"/>
      <c r="C67" s="63"/>
      <c r="D67" s="40">
        <v>4.1666666666666699E-2</v>
      </c>
      <c r="E67" s="29">
        <f t="shared" ref="E67" si="33">G66</f>
        <v>0.62500000000000011</v>
      </c>
      <c r="F67" s="24" t="s">
        <v>79</v>
      </c>
      <c r="G67" s="25">
        <f t="shared" si="15"/>
        <v>0.66666666666666685</v>
      </c>
      <c r="H67" s="1" t="s">
        <v>56</v>
      </c>
      <c r="I67" s="1" t="s">
        <v>43</v>
      </c>
      <c r="J67" s="1" t="s">
        <v>56</v>
      </c>
      <c r="K67" s="64"/>
      <c r="L67" s="12" t="s">
        <v>56</v>
      </c>
    </row>
  </sheetData>
  <mergeCells count="2">
    <mergeCell ref="H5:J5"/>
    <mergeCell ref="H60:J6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 EMS Fellowship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박정호</dc:creator>
  <cp:lastModifiedBy>Sohyun Park</cp:lastModifiedBy>
  <cp:lastPrinted>2022-03-28T05:44:57Z</cp:lastPrinted>
  <dcterms:created xsi:type="dcterms:W3CDTF">2019-02-24T01:51:51Z</dcterms:created>
  <dcterms:modified xsi:type="dcterms:W3CDTF">2026-04-02T04:38:03Z</dcterms:modified>
</cp:coreProperties>
</file>